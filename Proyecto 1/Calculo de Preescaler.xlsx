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2026 Primer Semestre\Programación de Micros\Progra de Micros\"/>
    </mc:Choice>
  </mc:AlternateContent>
  <xr:revisionPtr revIDLastSave="0" documentId="8_{D4E6F5ED-5308-4E81-8161-B457343A0368}" xr6:coauthVersionLast="47" xr6:coauthVersionMax="47" xr10:uidLastSave="{00000000-0000-0000-0000-000000000000}"/>
  <bookViews>
    <workbookView xWindow="-108" yWindow="-108" windowWidth="23256" windowHeight="12456" xr2:uid="{08B43234-1F85-4685-AFF5-C88669F621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6" i="1"/>
  <c r="B17" i="1" s="1"/>
</calcChain>
</file>

<file path=xl/sharedStrings.xml><?xml version="1.0" encoding="utf-8"?>
<sst xmlns="http://schemas.openxmlformats.org/spreadsheetml/2006/main" count="17" uniqueCount="17">
  <si>
    <t>Timer Size(bits)</t>
  </si>
  <si>
    <t>System Clock Frequency</t>
  </si>
  <si>
    <t xml:space="preserve">System Clock Prescaler </t>
  </si>
  <si>
    <t>Clock I/O Frequency (Hz)</t>
  </si>
  <si>
    <t>Clock I/O Prescaler</t>
  </si>
  <si>
    <t>Desire delay (s)</t>
  </si>
  <si>
    <t>CTC MODE</t>
  </si>
  <si>
    <t>Timer Frequency (Hz)</t>
  </si>
  <si>
    <t>Tick (s)</t>
  </si>
  <si>
    <t xml:space="preserve">Maximum time </t>
  </si>
  <si>
    <t>Minimimum preescaler needed</t>
  </si>
  <si>
    <t>OCROA</t>
  </si>
  <si>
    <t>TCNT0</t>
  </si>
  <si>
    <t xml:space="preserve">NORMAL MODE </t>
  </si>
  <si>
    <t>CSn2</t>
  </si>
  <si>
    <t>CSn1</t>
  </si>
  <si>
    <t>CSn0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</si>
</sst>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6468</xdr:colOff>
      <xdr:row>0</xdr:row>
      <xdr:rowOff>171727</xdr:rowOff>
    </xdr:from>
    <xdr:to>
      <xdr:col>13</xdr:col>
      <xdr:colOff>74934</xdr:colOff>
      <xdr:row>8</xdr:row>
      <xdr:rowOff>140484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F2E88A-B142-6204-7695-A5EA033C8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4811" y="171727"/>
          <a:ext cx="4814637" cy="1420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6323-3CC4-4AB4-B767-719C38A1803C}">
  <dimension ref="A2:L17"/>
  <sheetViews>
    <sheetView tabSelected="1" zoomScale="103" zoomScaleNormal="109" workbookViewId="0">
      <selection activeCell="C12" sqref="C12"/>
    </sheetView>
  </sheetViews>
  <sheetFormatPr baseColWidth="10" defaultRowHeight="14.4" x14ac:dyDescent="0.3"/>
  <cols>
    <col min="1" max="1" width="26.44140625" bestFit="1" customWidth="1"/>
    <col min="3" max="3" width="13.5546875" bestFit="1" customWidth="1"/>
  </cols>
  <sheetData>
    <row r="2" spans="1:12" x14ac:dyDescent="0.3">
      <c r="A2" t="s">
        <v>0</v>
      </c>
      <c r="B2" s="1">
        <v>8</v>
      </c>
      <c r="E2" t="s">
        <v>14</v>
      </c>
      <c r="F2" t="s">
        <v>15</v>
      </c>
      <c r="G2" t="s">
        <v>16</v>
      </c>
      <c r="J2">
        <v>8</v>
      </c>
      <c r="L2">
        <v>256</v>
      </c>
    </row>
    <row r="3" spans="1:12" x14ac:dyDescent="0.3">
      <c r="A3" t="s">
        <v>1</v>
      </c>
      <c r="B3" s="1">
        <v>16000000</v>
      </c>
      <c r="J3">
        <v>64</v>
      </c>
    </row>
    <row r="4" spans="1:12" x14ac:dyDescent="0.3">
      <c r="A4" t="s">
        <v>2</v>
      </c>
      <c r="B4" s="1">
        <v>16</v>
      </c>
      <c r="J4">
        <v>256</v>
      </c>
    </row>
    <row r="5" spans="1:12" x14ac:dyDescent="0.3">
      <c r="A5" t="s">
        <v>3</v>
      </c>
      <c r="B5" s="1">
        <v>1000000</v>
      </c>
      <c r="J5">
        <v>1024</v>
      </c>
    </row>
    <row r="6" spans="1:12" x14ac:dyDescent="0.3">
      <c r="A6" t="s">
        <v>4</v>
      </c>
      <c r="B6" s="1">
        <v>1024</v>
      </c>
    </row>
    <row r="7" spans="1:12" x14ac:dyDescent="0.3">
      <c r="A7" t="s">
        <v>5</v>
      </c>
      <c r="B7" s="1">
        <v>0.01</v>
      </c>
    </row>
    <row r="10" spans="1:12" x14ac:dyDescent="0.3">
      <c r="A10" t="s">
        <v>7</v>
      </c>
    </row>
    <row r="11" spans="1:12" x14ac:dyDescent="0.3">
      <c r="A11" t="s">
        <v>8</v>
      </c>
    </row>
    <row r="12" spans="1:12" x14ac:dyDescent="0.3">
      <c r="A12" t="s">
        <v>9</v>
      </c>
      <c r="B12">
        <f>((2^8)*B6)/B3</f>
        <v>1.6383999999999999E-2</v>
      </c>
    </row>
    <row r="13" spans="1:12" x14ac:dyDescent="0.3">
      <c r="A13" t="s">
        <v>10</v>
      </c>
      <c r="B13">
        <f>(B7*B5)/(2^8)</f>
        <v>39.0625</v>
      </c>
    </row>
    <row r="14" spans="1:12" x14ac:dyDescent="0.3">
      <c r="H14">
        <v>0</v>
      </c>
      <c r="I14">
        <v>1</v>
      </c>
      <c r="J14">
        <v>0</v>
      </c>
      <c r="K14">
        <v>8</v>
      </c>
    </row>
    <row r="15" spans="1:12" x14ac:dyDescent="0.3">
      <c r="H15">
        <v>0</v>
      </c>
      <c r="I15">
        <v>1</v>
      </c>
      <c r="J15">
        <v>1</v>
      </c>
      <c r="K15">
        <v>64</v>
      </c>
    </row>
    <row r="16" spans="1:12" x14ac:dyDescent="0.3">
      <c r="A16" s="2" t="s">
        <v>11</v>
      </c>
      <c r="B16" s="2">
        <f>(B3*B7)/B6</f>
        <v>156.25</v>
      </c>
      <c r="C16" s="2" t="s">
        <v>6</v>
      </c>
      <c r="H16">
        <v>1</v>
      </c>
      <c r="I16">
        <v>0</v>
      </c>
      <c r="J16">
        <v>0</v>
      </c>
      <c r="K16">
        <v>256</v>
      </c>
    </row>
    <row r="17" spans="1:11" x14ac:dyDescent="0.3">
      <c r="A17" s="2" t="s">
        <v>12</v>
      </c>
      <c r="B17" s="2">
        <f>L2-B16</f>
        <v>99.75</v>
      </c>
      <c r="C17" s="2" t="s">
        <v>13</v>
      </c>
      <c r="H17">
        <v>1</v>
      </c>
      <c r="I17">
        <v>0</v>
      </c>
      <c r="J17">
        <v>1</v>
      </c>
      <c r="K17">
        <v>1024</v>
      </c>
    </row>
  </sheetData>
  <dataValidations count="1">
    <dataValidation type="list" allowBlank="1" showInputMessage="1" showErrorMessage="1" sqref="B6" xr:uid="{C2714598-B269-4E41-B47F-61668AE27814}">
      <formula1>$J$2:$J$5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CASTRO, CRISTIAN ALEXANDER</dc:creator>
  <cp:lastModifiedBy>JUAREZ CASTRO, CRISTIAN ALEXANDER</cp:lastModifiedBy>
  <dcterms:created xsi:type="dcterms:W3CDTF">2026-02-17T20:57:54Z</dcterms:created>
  <dcterms:modified xsi:type="dcterms:W3CDTF">2026-02-19T22:40:41Z</dcterms:modified>
</cp:coreProperties>
</file>